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Donations" sheetId="3" state="visible" r:id="rId3"/>
    <sheet xmlns:r="http://schemas.openxmlformats.org/officeDocument/2006/relationships" name="Monthly Report" sheetId="4" state="visible" r:id="rId4"/>
  </sheets>
  <definedNames>
    <definedName name="_xlnm._FilterDatabase" localSheetId="2" hidden="1">'Donations'!$A$1:$H$25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 &quot;₺&quot;"/>
    <numFmt numFmtId="166" formatCode="#,##0.00 &quot;₺&quot;"/>
    <numFmt numFmtId="167" formatCode="yyyy-mm-dd"/>
    <numFmt numFmtId="168" formatCode="DD.MM.YYYY"/>
  </numFmts>
  <fonts count="9">
    <font>
      <name val="Calibri"/>
      <family val="2"/>
      <color theme="1"/>
      <sz val="11"/>
      <scheme val="minor"/>
    </font>
    <font>
      <b val="1"/>
      <color rgb="00095C5F"/>
      <sz val="16"/>
    </font>
    <font>
      <i val="1"/>
      <color rgb="006B7280"/>
      <sz val="10"/>
    </font>
    <font>
      <b val="1"/>
      <color rgb="00095C5F"/>
      <sz val="13"/>
    </font>
    <font>
      <b val="1"/>
      <sz val="11"/>
    </font>
    <font>
      <b val="1"/>
      <color rgb="00095C5F"/>
      <sz val="12"/>
    </font>
    <font>
      <b val="1"/>
      <color rgb="00FFFFFF"/>
      <sz val="11"/>
    </font>
    <font>
      <b val="1"/>
    </font>
    <font>
      <b val="1"/>
      <color rgb="00095C5F"/>
    </font>
  </fonts>
  <fills count="3">
    <fill>
      <patternFill/>
    </fill>
    <fill>
      <patternFill patternType="gray125"/>
    </fill>
    <fill>
      <patternFill patternType="solid">
        <fgColor rgb="00095C5F"/>
      </patternFill>
    </fill>
  </fills>
  <borders count="2">
    <border>
      <left/>
      <right/>
      <top/>
      <bottom/>
      <diagonal/>
    </border>
    <border>
      <left style="thin">
        <color rgb="00E5E0D0"/>
      </left>
      <right style="thin">
        <color rgb="00E5E0D0"/>
      </right>
      <top style="thin">
        <color rgb="00E5E0D0"/>
      </top>
      <bottom style="thin">
        <color rgb="00E5E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166" fontId="0" fillId="0" borderId="1" pivotButton="0" quotePrefix="0" xfId="0"/>
    <xf numFmtId="0" fontId="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7" fillId="0" borderId="1" pivotButton="0" quotePrefix="0" xfId="0"/>
    <xf numFmtId="0" fontId="8" fillId="0" borderId="0" pivotButton="0" quotePrefix="0" xfId="0"/>
    <xf numFmtId="165" fontId="7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7377"/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🧸 Yetim Vakfı — Fundraising Tracker 2026</t>
        </is>
      </c>
    </row>
    <row r="2">
      <c r="A2" s="2" t="inlineStr">
        <is>
          <t>yetimvakfi.org.tr • Online Bağış: bagis.yetimvakfi.org.tr • App: Google Play / App Store • 📞 0212 970 60 60</t>
        </is>
      </c>
    </row>
    <row r="4">
      <c r="A4" s="3" t="inlineStr">
        <is>
          <t>Özet</t>
        </is>
      </c>
    </row>
    <row r="5">
      <c r="A5" s="4" t="inlineStr">
        <is>
          <t>Toplanan Bağış (Toplam)</t>
        </is>
      </c>
      <c r="B5" s="5">
        <f>SUM(Campaigns!D2:D100)</f>
        <v/>
      </c>
    </row>
    <row r="6">
      <c r="A6" s="4" t="inlineStr">
        <is>
          <t>Genel Hedef</t>
        </is>
      </c>
      <c r="B6" s="5">
        <f>SUM(Campaigns!C2:C100)</f>
        <v/>
      </c>
    </row>
    <row r="7">
      <c r="A7" s="4" t="inlineStr">
        <is>
          <t>Hedefe Ulaşım %</t>
        </is>
      </c>
      <c r="B7" s="6">
        <f>IF(B6=0,0,B5/B6)</f>
        <v/>
      </c>
    </row>
    <row r="8">
      <c r="A8" s="4" t="inlineStr">
        <is>
          <t>Bağış Adedi</t>
        </is>
      </c>
      <c r="B8" s="7">
        <f>COUNTA(Donations!A2:A5000)</f>
        <v/>
      </c>
    </row>
    <row r="9">
      <c r="A9" s="4" t="inlineStr">
        <is>
          <t>Farklı Bağışçı</t>
        </is>
      </c>
      <c r="B9" s="7">
        <f>SUMPRODUCT(1/COUNTIF(Donations!B2:B5000,Donations!B2:B5000&amp;""))</f>
        <v/>
      </c>
    </row>
    <row r="10">
      <c r="A10" s="4" t="inlineStr">
        <is>
          <t>Ortalama Bağış (₺)</t>
        </is>
      </c>
      <c r="B10" s="5">
        <f>IFERROR(AVERAGE(Donations!G2:G5000),0)</f>
        <v/>
      </c>
    </row>
    <row r="11">
      <c r="A11" s="4" t="inlineStr">
        <is>
          <t>Bu Ay Toplanan (₺)</t>
        </is>
      </c>
      <c r="B11" s="5">
        <f>SUMIFS(Donations!G2:G5000,Donations!A2:A5000,"&gt;="&amp;EOMONTH(TODAY(),-1)+1)</f>
        <v/>
      </c>
    </row>
    <row r="12">
      <c r="A12" s="4" t="inlineStr">
        <is>
          <t>1 Yıllık Sponsorluk Karşılığı (yetim)</t>
        </is>
      </c>
      <c r="B12" s="7">
        <f>ROUND(SUMIFS(Donations!G2:G5000,Donations!C2:C5000,"Yetim Sponsorluğu")/10800,0)</f>
        <v/>
      </c>
    </row>
    <row r="14">
      <c r="A14" s="3" t="inlineStr">
        <is>
          <t>Kampanya Özeti (Campaigns sayfasından otomatik)</t>
        </is>
      </c>
    </row>
    <row r="15">
      <c r="A15" s="8" t="inlineStr">
        <is>
          <t>Kampanya</t>
        </is>
      </c>
      <c r="B15" s="8" t="inlineStr">
        <is>
          <t>Hedef (₺)</t>
        </is>
      </c>
      <c r="C15" s="8" t="inlineStr">
        <is>
          <t>Toplanan (₺)</t>
        </is>
      </c>
      <c r="D15" s="8" t="inlineStr">
        <is>
          <t>İlerleme %</t>
        </is>
      </c>
      <c r="E15" s="8" t="inlineStr">
        <is>
          <t>Kalan (₺)</t>
        </is>
      </c>
    </row>
    <row r="16">
      <c r="A16" s="9">
        <f>IF(Campaigns!A2="","",Campaigns!A2)</f>
        <v/>
      </c>
      <c r="B16" s="10">
        <f>IF(Campaigns!A2="","",Campaigns!C2)</f>
        <v/>
      </c>
      <c r="C16" s="10">
        <f>IF(Campaigns!A2="","",Campaigns!D2)</f>
        <v/>
      </c>
      <c r="D16" s="11">
        <f>IF(Campaigns!A2="","",Campaigns!E2)</f>
        <v/>
      </c>
      <c r="E16" s="10">
        <f>IF(Campaigns!A2="","",Campaigns!F2)</f>
        <v/>
      </c>
    </row>
    <row r="17">
      <c r="A17" s="9">
        <f>IF(Campaigns!A3="","",Campaigns!A3)</f>
        <v/>
      </c>
      <c r="B17" s="10">
        <f>IF(Campaigns!A3="","",Campaigns!C3)</f>
        <v/>
      </c>
      <c r="C17" s="10">
        <f>IF(Campaigns!A3="","",Campaigns!D3)</f>
        <v/>
      </c>
      <c r="D17" s="11">
        <f>IF(Campaigns!A3="","",Campaigns!E3)</f>
        <v/>
      </c>
      <c r="E17" s="10">
        <f>IF(Campaigns!A3="","",Campaigns!F3)</f>
        <v/>
      </c>
    </row>
    <row r="18">
      <c r="A18" s="9">
        <f>IF(Campaigns!A4="","",Campaigns!A4)</f>
        <v/>
      </c>
      <c r="B18" s="10">
        <f>IF(Campaigns!A4="","",Campaigns!C4)</f>
        <v/>
      </c>
      <c r="C18" s="10">
        <f>IF(Campaigns!A4="","",Campaigns!D4)</f>
        <v/>
      </c>
      <c r="D18" s="11">
        <f>IF(Campaigns!A4="","",Campaigns!E4)</f>
        <v/>
      </c>
      <c r="E18" s="10">
        <f>IF(Campaigns!A4="","",Campaigns!F4)</f>
        <v/>
      </c>
    </row>
    <row r="19">
      <c r="A19" s="9">
        <f>IF(Campaigns!A5="","",Campaigns!A5)</f>
        <v/>
      </c>
      <c r="B19" s="10">
        <f>IF(Campaigns!A5="","",Campaigns!C5)</f>
        <v/>
      </c>
      <c r="C19" s="10">
        <f>IF(Campaigns!A5="","",Campaigns!D5)</f>
        <v/>
      </c>
      <c r="D19" s="11">
        <f>IF(Campaigns!A5="","",Campaigns!E5)</f>
        <v/>
      </c>
      <c r="E19" s="10">
        <f>IF(Campaigns!A5="","",Campaigns!F5)</f>
        <v/>
      </c>
    </row>
    <row r="20">
      <c r="A20" s="9">
        <f>IF(Campaigns!A6="","",Campaigns!A6)</f>
        <v/>
      </c>
      <c r="B20" s="10">
        <f>IF(Campaigns!A6="","",Campaigns!C6)</f>
        <v/>
      </c>
      <c r="C20" s="10">
        <f>IF(Campaigns!A6="","",Campaigns!D6)</f>
        <v/>
      </c>
      <c r="D20" s="11">
        <f>IF(Campaigns!A6="","",Campaigns!E6)</f>
        <v/>
      </c>
      <c r="E20" s="10">
        <f>IF(Campaigns!A6="","",Campaigns!F6)</f>
        <v/>
      </c>
    </row>
    <row r="21">
      <c r="A21" s="9">
        <f>IF(Campaigns!A7="","",Campaigns!A7)</f>
        <v/>
      </c>
      <c r="B21" s="10">
        <f>IF(Campaigns!A7="","",Campaigns!C7)</f>
        <v/>
      </c>
      <c r="C21" s="10">
        <f>IF(Campaigns!A7="","",Campaigns!D7)</f>
        <v/>
      </c>
      <c r="D21" s="11">
        <f>IF(Campaigns!A7="","",Campaigns!E7)</f>
        <v/>
      </c>
      <c r="E21" s="10">
        <f>IF(Campaigns!A7="","",Campaigns!F7)</f>
        <v/>
      </c>
    </row>
    <row r="22">
      <c r="A22" s="9">
        <f>IF(Campaigns!A8="","",Campaigns!A8)</f>
        <v/>
      </c>
      <c r="B22" s="10">
        <f>IF(Campaigns!A8="","",Campaigns!C8)</f>
        <v/>
      </c>
      <c r="C22" s="10">
        <f>IF(Campaigns!A8="","",Campaigns!D8)</f>
        <v/>
      </c>
      <c r="D22" s="11">
        <f>IF(Campaigns!A8="","",Campaigns!E8)</f>
        <v/>
      </c>
      <c r="E22" s="10">
        <f>IF(Campaigns!A8="","",Campaigns!F8)</f>
        <v/>
      </c>
    </row>
    <row r="23">
      <c r="A23" s="9">
        <f>IF(Campaigns!A9="","",Campaigns!A9)</f>
        <v/>
      </c>
      <c r="B23" s="10">
        <f>IF(Campaigns!A9="","",Campaigns!C9)</f>
        <v/>
      </c>
      <c r="C23" s="10">
        <f>IF(Campaigns!A9="","",Campaigns!D9)</f>
        <v/>
      </c>
      <c r="D23" s="11">
        <f>IF(Campaigns!A9="","",Campaigns!E9)</f>
        <v/>
      </c>
      <c r="E23" s="10">
        <f>IF(Campaigns!A9="","",Campaigns!F9)</f>
        <v/>
      </c>
    </row>
    <row r="25">
      <c r="A25" s="3" t="inlineStr">
        <is>
          <t>Döviz Kurları (Donations sayfası USD/EUR çevirisi için)</t>
        </is>
      </c>
    </row>
    <row r="26">
      <c r="A26" s="12" t="inlineStr">
        <is>
          <t>1 USD =</t>
        </is>
      </c>
      <c r="B26" s="13" t="n">
        <v>41.5</v>
      </c>
    </row>
    <row r="27">
      <c r="A27" s="12" t="inlineStr">
        <is>
          <t>1 EUR =</t>
        </is>
      </c>
      <c r="B27" s="13" t="n">
        <v>48.6</v>
      </c>
    </row>
  </sheetData>
  <mergeCells count="2">
    <mergeCell ref="A2:F2"/>
    <mergeCell ref="A1:F1"/>
  </mergeCells>
  <conditionalFormatting sqref="D16:D23">
    <cfRule type="dataBar" priority="1">
      <dataBar>
        <cfvo type="num" val="0"/>
        <cfvo type="num" val="1"/>
        <color rgb="000D7377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6" customWidth="1" min="4" max="4"/>
    <col width="12" customWidth="1" min="5" max="5"/>
    <col width="15" customWidth="1" min="6" max="6"/>
    <col width="46" customWidth="1" min="7" max="7"/>
  </cols>
  <sheetData>
    <row r="1">
      <c r="A1" s="8" t="inlineStr">
        <is>
          <t>Kampanya (TR)</t>
        </is>
      </c>
      <c r="B1" s="8" t="inlineStr">
        <is>
          <t>Campaign (EN)</t>
        </is>
      </c>
      <c r="C1" s="8" t="inlineStr">
        <is>
          <t>Hedef (₺)</t>
        </is>
      </c>
      <c r="D1" s="8" t="inlineStr">
        <is>
          <t>Toplanan (₺)*</t>
        </is>
      </c>
      <c r="E1" s="8" t="inlineStr">
        <is>
          <t>İlerleme %</t>
        </is>
      </c>
      <c r="F1" s="8" t="inlineStr">
        <is>
          <t>Kalan (₺)</t>
        </is>
      </c>
      <c r="G1" s="8" t="inlineStr">
        <is>
          <t>Açıklama</t>
        </is>
      </c>
    </row>
    <row r="2">
      <c r="A2" s="14" t="inlineStr">
        <is>
          <t>Yetim Sponsorluğu</t>
        </is>
      </c>
      <c r="B2" s="15" t="inlineStr">
        <is>
          <t>Orphan Sponsorship</t>
        </is>
      </c>
      <c r="C2" s="16" t="n">
        <v>3000000</v>
      </c>
      <c r="D2" s="16">
        <f>1245600+SUMIFS(Donations!G:G,Donations!C:C,A2)</f>
        <v/>
      </c>
      <c r="E2" s="17">
        <f>IF(C2=0,0,D2/C2)</f>
        <v/>
      </c>
      <c r="F2" s="16">
        <f>C2-D2</f>
        <v/>
      </c>
      <c r="G2" s="15" t="inlineStr">
        <is>
          <t>Ayda 900 ₺ ile bir yetime sponsor olun — 21 ülkede 26.490 yetim</t>
        </is>
      </c>
    </row>
    <row r="3">
      <c r="A3" s="14" t="inlineStr">
        <is>
          <t>Filistin Acil Yardım / Gazze Sıcak Yemek</t>
        </is>
      </c>
      <c r="B3" s="15" t="inlineStr">
        <is>
          <t>Palestine Emergency Aid / Gaza Hot Meals</t>
        </is>
      </c>
      <c r="C3" s="16" t="n">
        <v>5000000</v>
      </c>
      <c r="D3" s="16">
        <f>2873400+SUMIFS(Donations!G:G,Donations!C:C,A3)</f>
        <v/>
      </c>
      <c r="E3" s="17">
        <f>IF(C3=0,0,D3/C3)</f>
        <v/>
      </c>
      <c r="F3" s="16">
        <f>C3-D3</f>
        <v/>
      </c>
      <c r="G3" s="15" t="inlineStr">
        <is>
          <t>Gazze'ye acil insani yardım ve sıcak yemek</t>
        </is>
      </c>
    </row>
    <row r="4">
      <c r="A4" s="14" t="inlineStr">
        <is>
          <t>İyilik Çantası – Kırtasiye</t>
        </is>
      </c>
      <c r="B4" s="15" t="inlineStr">
        <is>
          <t>School Bag – Stationery</t>
        </is>
      </c>
      <c r="C4" s="16" t="n">
        <v>1500000</v>
      </c>
      <c r="D4" s="16">
        <f>486000+SUMIFS(Donations!G:G,Donations!C:C,A4)</f>
        <v/>
      </c>
      <c r="E4" s="17">
        <f>IF(C4=0,0,D4/C4)</f>
        <v/>
      </c>
      <c r="F4" s="16">
        <f>C4-D4</f>
        <v/>
      </c>
      <c r="G4" s="15" t="inlineStr">
        <is>
          <t>2026 hedefi 20.000 çocuk — 1.500 ₺/set</t>
        </is>
      </c>
    </row>
    <row r="5">
      <c r="A5" s="14" t="inlineStr">
        <is>
          <t>Adak – Akika – Şükür Kurbanı</t>
        </is>
      </c>
      <c r="B5" s="15" t="inlineStr">
        <is>
          <t>Vow – Aqiqah – Thanksgiving Qurbani</t>
        </is>
      </c>
      <c r="C5" s="16" t="n">
        <v>2000000</v>
      </c>
      <c r="D5" s="16">
        <f>912500+SUMIFS(Donations!G:G,Donations!C:C,A5)</f>
        <v/>
      </c>
      <c r="E5" s="17">
        <f>IF(C5=0,0,D5/C5)</f>
        <v/>
      </c>
      <c r="F5" s="16">
        <f>C5-D5</f>
        <v/>
      </c>
      <c r="G5" s="15" t="inlineStr">
        <is>
          <t>Kurban etleri yetim çocuklara ulaştırılıyor</t>
        </is>
      </c>
    </row>
    <row r="6">
      <c r="A6" s="14" t="inlineStr">
        <is>
          <t>Zekât &amp; Sadaka Fonu</t>
        </is>
      </c>
      <c r="B6" s="15" t="inlineStr">
        <is>
          <t>Zakat &amp; Sadaqah Fund</t>
        </is>
      </c>
      <c r="C6" s="16" t="n">
        <v>2500000</v>
      </c>
      <c r="D6" s="16">
        <f>1330750+SUMIFS(Donations!G:G,Donations!C:C,A6)</f>
        <v/>
      </c>
      <c r="E6" s="17">
        <f>IF(C6=0,0,D6/C6)</f>
        <v/>
      </c>
      <c r="F6" s="16">
        <f>C6-D6</f>
        <v/>
      </c>
      <c r="G6" s="15" t="inlineStr">
        <is>
          <t>Zekâtınızla iyilik köprüsüne bir tuğla koyun</t>
        </is>
      </c>
    </row>
    <row r="7">
      <c r="A7" s="14" t="inlineStr">
        <is>
          <t>Yetimhane &amp; Yerleşkeler</t>
        </is>
      </c>
      <c r="B7" s="15" t="inlineStr">
        <is>
          <t>Orphanages &amp; Settlements</t>
        </is>
      </c>
      <c r="C7" s="16" t="n">
        <v>4000000</v>
      </c>
      <c r="D7" s="16">
        <f>1140200+SUMIFS(Donations!G:G,Donations!C:C,A7)</f>
        <v/>
      </c>
      <c r="E7" s="17">
        <f>IF(C7=0,0,D7/C7)</f>
        <v/>
      </c>
      <c r="F7" s="16">
        <f>C7-D7</f>
        <v/>
      </c>
      <c r="G7" s="15" t="inlineStr">
        <is>
          <t>Ailesinden ayrı düşen çocuklara sıcak bir yuva</t>
        </is>
      </c>
    </row>
    <row r="8">
      <c r="A8" s="14" t="inlineStr">
        <is>
          <t>Gıda Paketi</t>
        </is>
      </c>
      <c r="B8" s="15" t="inlineStr">
        <is>
          <t>Food Parcel</t>
        </is>
      </c>
      <c r="C8" s="16" t="n">
        <v>1200000</v>
      </c>
      <c r="D8" s="16">
        <f>402300+SUMIFS(Donations!G:G,Donations!C:C,A8)</f>
        <v/>
      </c>
      <c r="E8" s="17">
        <f>IF(C8=0,0,D8/C8)</f>
        <v/>
      </c>
      <c r="F8" s="16">
        <f>C8-D8</f>
        <v/>
      </c>
      <c r="G8" s="15" t="inlineStr">
        <is>
          <t>Yetimlerin ve ihtiyaç sahiplerinin sofrasına bereket</t>
        </is>
      </c>
    </row>
    <row r="9">
      <c r="A9" s="14" t="inlineStr">
        <is>
          <t>Eğitim &amp; Burs Desteği</t>
        </is>
      </c>
      <c r="B9" s="15" t="inlineStr">
        <is>
          <t>Education &amp; Scholarship</t>
        </is>
      </c>
      <c r="C9" s="16" t="n">
        <v>1800000</v>
      </c>
      <c r="D9" s="16">
        <f>655800+SUMIFS(Donations!G:G,Donations!C:C,A9)</f>
        <v/>
      </c>
      <c r="E9" s="17">
        <f>IF(C9=0,0,D9/C9)</f>
        <v/>
      </c>
      <c r="F9" s="16">
        <f>C9-D9</f>
        <v/>
      </c>
      <c r="G9" s="15" t="inlineStr">
        <is>
          <t>Yetimlerin eğitim yolculuğuna destek</t>
        </is>
      </c>
    </row>
    <row r="11">
      <c r="A11" s="2" t="inlineStr">
        <is>
          <t>* Toplanan = başlangıç tutarı + Donations sayfasındaki kayıtların ₺ karşılığı toplamı (otomatik formül).</t>
        </is>
      </c>
    </row>
  </sheetData>
  <conditionalFormatting sqref="E2:E9">
    <cfRule type="dataBar" priority="1">
      <dataBar>
        <cfvo type="num" val="0"/>
        <cfvo type="num" val="1"/>
        <color rgb="000D7377"/>
      </dataBar>
    </cfRule>
    <cfRule type="cellIs" priority="2" operator="greaterThanOrEqual" dxfId="0">
      <formula>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4" customWidth="1" min="3" max="3"/>
    <col width="14" customWidth="1" min="4" max="4"/>
    <col width="13" customWidth="1" min="5" max="5"/>
    <col width="13" customWidth="1" min="6" max="6"/>
    <col width="15" customWidth="1" min="7" max="7"/>
    <col width="40" customWidth="1" min="8" max="8"/>
  </cols>
  <sheetData>
    <row r="1">
      <c r="A1" s="8" t="inlineStr">
        <is>
          <t>Tarih</t>
        </is>
      </c>
      <c r="B1" s="8" t="inlineStr">
        <is>
          <t>Bağışçı</t>
        </is>
      </c>
      <c r="C1" s="8" t="inlineStr">
        <is>
          <t>Kampanya</t>
        </is>
      </c>
      <c r="D1" s="8" t="inlineStr">
        <is>
          <t>Tür</t>
        </is>
      </c>
      <c r="E1" s="8" t="inlineStr">
        <is>
          <t>Tutar</t>
        </is>
      </c>
      <c r="F1" s="8" t="inlineStr">
        <is>
          <t>Para Birimi</t>
        </is>
      </c>
      <c r="G1" s="8" t="inlineStr">
        <is>
          <t>₺ Karşılığı</t>
        </is>
      </c>
      <c r="H1" s="8" t="inlineStr">
        <is>
          <t>Not</t>
        </is>
      </c>
    </row>
    <row r="2">
      <c r="A2" s="18" t="n">
        <v>46277</v>
      </c>
      <c r="B2" s="19" t="inlineStr">
        <is>
          <t>Ömer Nadi Yılmaz</t>
        </is>
      </c>
      <c r="C2" s="15" t="inlineStr">
        <is>
          <t>Eğitim &amp; Burs Desteği</t>
        </is>
      </c>
      <c r="D2" s="19" t="inlineStr">
        <is>
          <t>Tek Seferlik</t>
        </is>
      </c>
      <c r="E2" s="20" t="n">
        <v>100000</v>
      </c>
      <c r="F2" s="19" t="inlineStr">
        <is>
          <t>TRY</t>
        </is>
      </c>
      <c r="G2" s="21">
        <f>IF(F2="USD",E2*Dashboard!B$26,IF(F2="EUR",E2*Dashboard!B$27,E2))</f>
        <v/>
      </c>
      <c r="H2" s="15" t="inlineStr">
        <is>
          <t>LGS birincilik ödülü bağışı</t>
        </is>
      </c>
    </row>
    <row r="3">
      <c r="A3" s="18" t="n">
        <v>46267</v>
      </c>
      <c r="B3" s="19" t="inlineStr">
        <is>
          <t>Elif Şahin (9)</t>
        </is>
      </c>
      <c r="C3" s="15" t="inlineStr">
        <is>
          <t>Yetim Sponsorluğu</t>
        </is>
      </c>
      <c r="D3" s="19" t="inlineStr">
        <is>
          <t>Aylık</t>
        </is>
      </c>
      <c r="E3" s="20" t="n">
        <v>32400</v>
      </c>
      <c r="F3" s="19" t="inlineStr">
        <is>
          <t>TRY</t>
        </is>
      </c>
      <c r="G3" s="21">
        <f>IF(F3="USD",E3*Dashboard!B$26,IF(F3="EUR",E3*Dashboard!B$27,E3))</f>
        <v/>
      </c>
      <c r="H3" s="15" t="inlineStr">
        <is>
          <t>Harçlıklarıyla 3 yetime 1 yıllık sponsorluk</t>
        </is>
      </c>
    </row>
    <row r="4">
      <c r="A4" s="18" t="n">
        <v>46285</v>
      </c>
      <c r="B4" s="19" t="inlineStr">
        <is>
          <t>Ahmet Yılmaz</t>
        </is>
      </c>
      <c r="C4" s="15" t="inlineStr">
        <is>
          <t>Yetim Sponsorluğu</t>
        </is>
      </c>
      <c r="D4" s="19" t="inlineStr">
        <is>
          <t>Aylık</t>
        </is>
      </c>
      <c r="E4" s="20" t="n">
        <v>900</v>
      </c>
      <c r="F4" s="19" t="inlineStr">
        <is>
          <t>TRY</t>
        </is>
      </c>
      <c r="G4" s="21">
        <f>IF(F4="USD",E4*Dashboard!B$26,IF(F4="EUR",E4*Dashboard!B$27,E4))</f>
        <v/>
      </c>
      <c r="H4" s="15" t="inlineStr">
        <is>
          <t>Aylık sponsorluk</t>
        </is>
      </c>
    </row>
    <row r="5">
      <c r="A5" s="18" t="n">
        <v>46283</v>
      </c>
      <c r="B5" s="19" t="inlineStr">
        <is>
          <t>Fatma Demir</t>
        </is>
      </c>
      <c r="C5" s="15" t="inlineStr">
        <is>
          <t>İyilik Çantası – Kırtasiye</t>
        </is>
      </c>
      <c r="D5" s="19" t="inlineStr">
        <is>
          <t>Tek Seferlik</t>
        </is>
      </c>
      <c r="E5" s="20" t="n">
        <v>1500</v>
      </c>
      <c r="F5" s="19" t="inlineStr">
        <is>
          <t>TRY</t>
        </is>
      </c>
      <c r="G5" s="21">
        <f>IF(F5="USD",E5*Dashboard!B$26,IF(F5="EUR",E5*Dashboard!B$27,E5))</f>
        <v/>
      </c>
      <c r="H5" s="15" t="inlineStr">
        <is>
          <t>1 kırtasiye seti</t>
        </is>
      </c>
    </row>
    <row r="6">
      <c r="A6" s="18" t="n">
        <v>46280</v>
      </c>
      <c r="B6" s="19" t="inlineStr">
        <is>
          <t>Mehmet Kaya</t>
        </is>
      </c>
      <c r="C6" s="15" t="inlineStr">
        <is>
          <t>Filistin Acil Yardım / Gazze Sıcak Yemek</t>
        </is>
      </c>
      <c r="D6" s="19" t="inlineStr">
        <is>
          <t>Sadaka</t>
        </is>
      </c>
      <c r="E6" s="20" t="n">
        <v>5000</v>
      </c>
      <c r="F6" s="19" t="inlineStr">
        <is>
          <t>TRY</t>
        </is>
      </c>
      <c r="G6" s="21">
        <f>IF(F6="USD",E6*Dashboard!B$26,IF(F6="EUR",E6*Dashboard!B$27,E6))</f>
        <v/>
      </c>
      <c r="H6" s="15" t="inlineStr">
        <is>
          <t>Gazze sıcak yemek</t>
        </is>
      </c>
    </row>
    <row r="7">
      <c r="A7" s="18" t="n">
        <v>46275</v>
      </c>
      <c r="B7" s="19" t="inlineStr">
        <is>
          <t>Ayşe Çelik</t>
        </is>
      </c>
      <c r="C7" s="15" t="inlineStr">
        <is>
          <t>Filistin Acil Yardım / Gazze Sıcak Yemek</t>
        </is>
      </c>
      <c r="D7" s="19" t="inlineStr">
        <is>
          <t>Sadaka</t>
        </is>
      </c>
      <c r="E7" s="20" t="n">
        <v>250</v>
      </c>
      <c r="F7" s="19" t="inlineStr">
        <is>
          <t>USD</t>
        </is>
      </c>
      <c r="G7" s="21">
        <f>IF(F7="USD",E7*Dashboard!B$26,IF(F7="EUR",E7*Dashboard!B$27,E7))</f>
        <v/>
      </c>
      <c r="H7" s="15" t="inlineStr">
        <is>
          <t>Emergency aid</t>
        </is>
      </c>
    </row>
    <row r="8">
      <c r="A8" s="18" t="n">
        <v>46273</v>
      </c>
      <c r="B8" s="19" t="inlineStr">
        <is>
          <t>Anonymous</t>
        </is>
      </c>
      <c r="C8" s="15" t="inlineStr">
        <is>
          <t>Yetim Sponsorluğu</t>
        </is>
      </c>
      <c r="D8" s="19" t="inlineStr">
        <is>
          <t>Aylık</t>
        </is>
      </c>
      <c r="E8" s="20" t="n">
        <v>1800</v>
      </c>
      <c r="F8" s="19" t="inlineStr">
        <is>
          <t>TRY</t>
        </is>
      </c>
      <c r="G8" s="21">
        <f>IF(F8="USD",E8*Dashboard!B$26,IF(F8="EUR",E8*Dashboard!B$27,E8))</f>
        <v/>
      </c>
      <c r="H8" s="15" t="inlineStr">
        <is>
          <t>2 orphans</t>
        </is>
      </c>
    </row>
    <row r="9">
      <c r="A9" s="18" t="n">
        <v>46262</v>
      </c>
      <c r="B9" s="19" t="inlineStr">
        <is>
          <t>Hatice Öztürk</t>
        </is>
      </c>
      <c r="C9" s="15" t="inlineStr">
        <is>
          <t>Adak – Akika – Şükür Kurbanı</t>
        </is>
      </c>
      <c r="D9" s="19" t="inlineStr">
        <is>
          <t>Tek Seferlik</t>
        </is>
      </c>
      <c r="E9" s="20" t="n">
        <v>7500</v>
      </c>
      <c r="F9" s="19" t="inlineStr">
        <is>
          <t>TRY</t>
        </is>
      </c>
      <c r="G9" s="21">
        <f>IF(F9="USD",E9*Dashboard!B$26,IF(F9="EUR",E9*Dashboard!B$27,E9))</f>
        <v/>
      </c>
      <c r="H9" s="15" t="inlineStr">
        <is>
          <t>Adak kurbanı</t>
        </is>
      </c>
    </row>
    <row r="10">
      <c r="A10" s="18" t="n">
        <v>46254</v>
      </c>
      <c r="B10" s="19" t="inlineStr">
        <is>
          <t>Mustafa Arslan</t>
        </is>
      </c>
      <c r="C10" s="15" t="inlineStr">
        <is>
          <t>Zekât &amp; Sadaka Fonu</t>
        </is>
      </c>
      <c r="D10" s="19" t="inlineStr">
        <is>
          <t>Zekât</t>
        </is>
      </c>
      <c r="E10" s="20" t="n">
        <v>20000</v>
      </c>
      <c r="F10" s="19" t="inlineStr">
        <is>
          <t>TRY</t>
        </is>
      </c>
      <c r="G10" s="21">
        <f>IF(F10="USD",E10*Dashboard!B$26,IF(F10="EUR",E10*Dashboard!B$27,E10))</f>
        <v/>
      </c>
      <c r="H10" s="15" t="inlineStr">
        <is>
          <t>Zekât</t>
        </is>
      </c>
    </row>
    <row r="11">
      <c r="A11" s="18" t="n">
        <v>46249</v>
      </c>
      <c r="B11" s="19" t="inlineStr">
        <is>
          <t>Zeynep Aydın</t>
        </is>
      </c>
      <c r="C11" s="15" t="inlineStr">
        <is>
          <t>Yetimhane &amp; Yerleşkeler</t>
        </is>
      </c>
      <c r="D11" s="19" t="inlineStr">
        <is>
          <t>Tek Seferlik</t>
        </is>
      </c>
      <c r="E11" s="20" t="n">
        <v>300</v>
      </c>
      <c r="F11" s="19" t="inlineStr">
        <is>
          <t>EUR</t>
        </is>
      </c>
      <c r="G11" s="21">
        <f>IF(F11="USD",E11*Dashboard!B$26,IF(F11="EUR",E11*Dashboard!B$27,E11))</f>
        <v/>
      </c>
      <c r="H11" s="15" t="inlineStr">
        <is>
          <t>Orphanage support</t>
        </is>
      </c>
    </row>
    <row r="12">
      <c r="A12" s="18" t="n">
        <v>46239</v>
      </c>
      <c r="B12" s="19" t="inlineStr">
        <is>
          <t>ABC Tekstil Ltd.</t>
        </is>
      </c>
      <c r="C12" s="15" t="inlineStr">
        <is>
          <t>Yetimhane &amp; Yerleşkeler</t>
        </is>
      </c>
      <c r="D12" s="19" t="inlineStr">
        <is>
          <t>Kurumsal</t>
        </is>
      </c>
      <c r="E12" s="20" t="n">
        <v>150000</v>
      </c>
      <c r="F12" s="19" t="inlineStr">
        <is>
          <t>TRY</t>
        </is>
      </c>
      <c r="G12" s="21">
        <f>IF(F12="USD",E12*Dashboard!B$26,IF(F12="EUR",E12*Dashboard!B$27,E12))</f>
        <v/>
      </c>
      <c r="H12" s="15" t="inlineStr">
        <is>
          <t>Kurumsal bağış</t>
        </is>
      </c>
    </row>
    <row r="13">
      <c r="A13" s="18" t="n">
        <v>46237</v>
      </c>
      <c r="B13" s="19" t="inlineStr">
        <is>
          <t>Emre Yıldız</t>
        </is>
      </c>
      <c r="C13" s="15" t="inlineStr">
        <is>
          <t>Yetim Sponsorluğu</t>
        </is>
      </c>
      <c r="D13" s="19" t="inlineStr">
        <is>
          <t>Aylık</t>
        </is>
      </c>
      <c r="E13" s="20" t="n">
        <v>900</v>
      </c>
      <c r="F13" s="19" t="inlineStr">
        <is>
          <t>TRY</t>
        </is>
      </c>
      <c r="G13" s="21">
        <f>IF(F13="USD",E13*Dashboard!B$26,IF(F13="EUR",E13*Dashboard!B$27,E13))</f>
        <v/>
      </c>
      <c r="H13" s="15" t="inlineStr"/>
    </row>
    <row r="14">
      <c r="A14" s="18" t="n">
        <v>46228</v>
      </c>
      <c r="B14" s="19" t="inlineStr">
        <is>
          <t>Hüseyin Çetin</t>
        </is>
      </c>
      <c r="C14" s="15" t="inlineStr">
        <is>
          <t>Gıda Paketi</t>
        </is>
      </c>
      <c r="D14" s="19" t="inlineStr">
        <is>
          <t>Sadaka</t>
        </is>
      </c>
      <c r="E14" s="20" t="n">
        <v>2500</v>
      </c>
      <c r="F14" s="19" t="inlineStr">
        <is>
          <t>TRY</t>
        </is>
      </c>
      <c r="G14" s="21">
        <f>IF(F14="USD",E14*Dashboard!B$26,IF(F14="EUR",E14*Dashboard!B$27,E14))</f>
        <v/>
      </c>
      <c r="H14" s="15" t="inlineStr">
        <is>
          <t>5 gıda paketi</t>
        </is>
      </c>
    </row>
    <row r="15">
      <c r="A15" s="18" t="n">
        <v>46221</v>
      </c>
      <c r="B15" s="19" t="inlineStr">
        <is>
          <t>Meryem Koç</t>
        </is>
      </c>
      <c r="C15" s="15" t="inlineStr">
        <is>
          <t>Yetim Sponsorluğu</t>
        </is>
      </c>
      <c r="D15" s="19" t="inlineStr">
        <is>
          <t>Aylık</t>
        </is>
      </c>
      <c r="E15" s="20" t="n">
        <v>10800</v>
      </c>
      <c r="F15" s="19" t="inlineStr">
        <is>
          <t>TRY</t>
        </is>
      </c>
      <c r="G15" s="21">
        <f>IF(F15="USD",E15*Dashboard!B$26,IF(F15="EUR",E15*Dashboard!B$27,E15))</f>
        <v/>
      </c>
      <c r="H15" s="15" t="inlineStr">
        <is>
          <t>1 yetime 1 yıllık sponsorluk</t>
        </is>
      </c>
    </row>
    <row r="16">
      <c r="A16" s="18" t="n">
        <v>46213</v>
      </c>
      <c r="B16" s="19" t="inlineStr">
        <is>
          <t>İbrahim Kurt</t>
        </is>
      </c>
      <c r="C16" s="15" t="inlineStr">
        <is>
          <t>Filistin Acil Yardım / Gazze Sıcak Yemek</t>
        </is>
      </c>
      <c r="D16" s="19" t="inlineStr">
        <is>
          <t>Zekât</t>
        </is>
      </c>
      <c r="E16" s="20" t="n">
        <v>10000</v>
      </c>
      <c r="F16" s="19" t="inlineStr">
        <is>
          <t>TRY</t>
        </is>
      </c>
      <c r="G16" s="21">
        <f>IF(F16="USD",E16*Dashboard!B$26,IF(F16="EUR",E16*Dashboard!B$27,E16))</f>
        <v/>
      </c>
      <c r="H16" s="15" t="inlineStr">
        <is>
          <t>Fitre + zekât</t>
        </is>
      </c>
    </row>
    <row r="17">
      <c r="A17" s="18" t="n">
        <v>46205</v>
      </c>
      <c r="B17" s="19" t="inlineStr">
        <is>
          <t>Selin Polat</t>
        </is>
      </c>
      <c r="C17" s="15" t="inlineStr">
        <is>
          <t>İyilik Çantası – Kırtasiye</t>
        </is>
      </c>
      <c r="D17" s="19" t="inlineStr">
        <is>
          <t>Tek Seferlik</t>
        </is>
      </c>
      <c r="E17" s="20" t="n">
        <v>1500</v>
      </c>
      <c r="F17" s="19" t="inlineStr">
        <is>
          <t>TRY</t>
        </is>
      </c>
      <c r="G17" s="21">
        <f>IF(F17="USD",E17*Dashboard!B$26,IF(F17="EUR",E17*Dashboard!B$27,E17))</f>
        <v/>
      </c>
      <c r="H17" s="15" t="inlineStr"/>
    </row>
    <row r="18">
      <c r="A18" s="18" t="n">
        <v>46193</v>
      </c>
      <c r="B18" s="19" t="inlineStr">
        <is>
          <t>Osman Yalçın</t>
        </is>
      </c>
      <c r="C18" s="15" t="inlineStr">
        <is>
          <t>Eğitim &amp; Burs Desteği</t>
        </is>
      </c>
      <c r="D18" s="19" t="inlineStr">
        <is>
          <t>Tek Seferlik</t>
        </is>
      </c>
      <c r="E18" s="20" t="n">
        <v>500</v>
      </c>
      <c r="F18" s="19" t="inlineStr">
        <is>
          <t>USD</t>
        </is>
      </c>
      <c r="G18" s="21">
        <f>IF(F18="USD",E18*Dashboard!B$26,IF(F18="EUR",E18*Dashboard!B$27,E18))</f>
        <v/>
      </c>
      <c r="H18" s="15" t="inlineStr">
        <is>
          <t>Scholarship fund</t>
        </is>
      </c>
    </row>
    <row r="19">
      <c r="A19" s="18" t="n">
        <v>46185</v>
      </c>
      <c r="B19" s="19" t="inlineStr">
        <is>
          <t>Rabia Tunç</t>
        </is>
      </c>
      <c r="C19" s="15" t="inlineStr">
        <is>
          <t>Gıda Paketi</t>
        </is>
      </c>
      <c r="D19" s="19" t="inlineStr">
        <is>
          <t>Fidye</t>
        </is>
      </c>
      <c r="E19" s="20" t="n">
        <v>3000</v>
      </c>
      <c r="F19" s="19" t="inlineStr">
        <is>
          <t>TRY</t>
        </is>
      </c>
      <c r="G19" s="21">
        <f>IF(F19="USD",E19*Dashboard!B$26,IF(F19="EUR",E19*Dashboard!B$27,E19))</f>
        <v/>
      </c>
      <c r="H19" s="15" t="inlineStr">
        <is>
          <t>Fidye</t>
        </is>
      </c>
    </row>
    <row r="20">
      <c r="A20" s="18" t="n">
        <v>46178</v>
      </c>
      <c r="B20" s="19" t="inlineStr">
        <is>
          <t>Yusuf Eren</t>
        </is>
      </c>
      <c r="C20" s="15" t="inlineStr">
        <is>
          <t>Yetim Sponsorluğu</t>
        </is>
      </c>
      <c r="D20" s="19" t="inlineStr">
        <is>
          <t>Aylık</t>
        </is>
      </c>
      <c r="E20" s="20" t="n">
        <v>900</v>
      </c>
      <c r="F20" s="19" t="inlineStr">
        <is>
          <t>TRY</t>
        </is>
      </c>
      <c r="G20" s="21">
        <f>IF(F20="USD",E20*Dashboard!B$26,IF(F20="EUR",E20*Dashboard!B$27,E20))</f>
        <v/>
      </c>
      <c r="H20" s="15" t="inlineStr"/>
    </row>
    <row r="21">
      <c r="A21" s="18" t="n">
        <v>46170</v>
      </c>
      <c r="B21" s="19" t="inlineStr">
        <is>
          <t>Khadija A.</t>
        </is>
      </c>
      <c r="C21" s="15" t="inlineStr">
        <is>
          <t>Filistin Acil Yardım / Gazze Sıcak Yemek</t>
        </is>
      </c>
      <c r="D21" s="19" t="inlineStr">
        <is>
          <t>Sadaka</t>
        </is>
      </c>
      <c r="E21" s="20" t="n">
        <v>1000</v>
      </c>
      <c r="F21" s="19" t="inlineStr">
        <is>
          <t>USD</t>
        </is>
      </c>
      <c r="G21" s="21">
        <f>IF(F21="USD",E21*Dashboard!B$26,IF(F21="EUR",E21*Dashboard!B$27,E21))</f>
        <v/>
      </c>
      <c r="H21" s="15" t="inlineStr">
        <is>
          <t>For Gaza orphans</t>
        </is>
      </c>
    </row>
    <row r="22">
      <c r="A22" s="18" t="n">
        <v>46157</v>
      </c>
      <c r="B22" s="19" t="inlineStr">
        <is>
          <t>Anadolu Lojistik A.Ş.</t>
        </is>
      </c>
      <c r="C22" s="15" t="inlineStr">
        <is>
          <t>Filistin Acil Yardım / Gazze Sıcak Yemek</t>
        </is>
      </c>
      <c r="D22" s="19" t="inlineStr">
        <is>
          <t>Kurumsal</t>
        </is>
      </c>
      <c r="E22" s="20" t="n">
        <v>85000</v>
      </c>
      <c r="F22" s="19" t="inlineStr">
        <is>
          <t>TRY</t>
        </is>
      </c>
      <c r="G22" s="21">
        <f>IF(F22="USD",E22*Dashboard!B$26,IF(F22="EUR",E22*Dashboard!B$27,E22))</f>
        <v/>
      </c>
      <c r="H22" s="15" t="inlineStr">
        <is>
          <t>Un ve sıcak yemek</t>
        </is>
      </c>
    </row>
    <row r="23">
      <c r="A23" s="18" t="n">
        <v>46150</v>
      </c>
      <c r="B23" s="19" t="inlineStr">
        <is>
          <t>Derya Aksoy</t>
        </is>
      </c>
      <c r="C23" s="15" t="inlineStr">
        <is>
          <t>İyilik Çantası – Kırtasiye</t>
        </is>
      </c>
      <c r="D23" s="19" t="inlineStr">
        <is>
          <t>Tek Seferlik</t>
        </is>
      </c>
      <c r="E23" s="20" t="n">
        <v>4500</v>
      </c>
      <c r="F23" s="19" t="inlineStr">
        <is>
          <t>TRY</t>
        </is>
      </c>
      <c r="G23" s="21">
        <f>IF(F23="USD",E23*Dashboard!B$26,IF(F23="EUR",E23*Dashboard!B$27,E23))</f>
        <v/>
      </c>
      <c r="H23" s="15" t="inlineStr">
        <is>
          <t>3 kırtasiye seti</t>
        </is>
      </c>
    </row>
    <row r="24">
      <c r="A24" s="18" t="n">
        <v>46134</v>
      </c>
      <c r="B24" s="19" t="inlineStr">
        <is>
          <t>Burak Güneş</t>
        </is>
      </c>
      <c r="C24" s="15" t="inlineStr">
        <is>
          <t>Adak – Akika – Şükür Kurbanı</t>
        </is>
      </c>
      <c r="D24" s="19" t="inlineStr">
        <is>
          <t>Tek Seferlik</t>
        </is>
      </c>
      <c r="E24" s="20" t="n">
        <v>15000</v>
      </c>
      <c r="F24" s="19" t="inlineStr">
        <is>
          <t>TRY</t>
        </is>
      </c>
      <c r="G24" s="21">
        <f>IF(F24="USD",E24*Dashboard!B$26,IF(F24="EUR",E24*Dashboard!B$27,E24))</f>
        <v/>
      </c>
      <c r="H24" s="15" t="inlineStr">
        <is>
          <t>Akika kurbanı</t>
        </is>
      </c>
    </row>
    <row r="25">
      <c r="A25" s="18" t="n">
        <v>46122</v>
      </c>
      <c r="B25" s="19" t="inlineStr">
        <is>
          <t>Seda Kılıç</t>
        </is>
      </c>
      <c r="C25" s="15" t="inlineStr">
        <is>
          <t>Yetim Sponsorluğu</t>
        </is>
      </c>
      <c r="D25" s="19" t="inlineStr">
        <is>
          <t>Aylık</t>
        </is>
      </c>
      <c r="E25" s="20" t="n">
        <v>900</v>
      </c>
      <c r="F25" s="19" t="inlineStr">
        <is>
          <t>TRY</t>
        </is>
      </c>
      <c r="G25" s="21">
        <f>IF(F25="USD",E25*Dashboard!B$26,IF(F25="EUR",E25*Dashboard!B$27,E25))</f>
        <v/>
      </c>
      <c r="H25" s="15" t="inlineStr"/>
    </row>
  </sheetData>
  <autoFilter ref="A1:H25"/>
  <dataValidations count="3">
    <dataValidation sqref="C2:C5000" showDropDown="0" showInputMessage="0" showErrorMessage="1" allowBlank="1" errorTitle="Kampanya" error="Listeden bir kampanya seçin." type="list">
      <formula1>"Yetim Sponsorluğu,Filistin Acil Yardım / Gazze Sıcak Yemek,İyilik Çantası – Kırtasiye,Adak – Akika – Şükür Kurbanı,Zekât &amp; Sadaka Fonu,Yetimhane &amp; Yerleşkeler,Gıda Paketi,Eğitim &amp; Burs Desteği"</formula1>
    </dataValidation>
    <dataValidation sqref="D2:D5000" showDropDown="0" showInputMessage="0" showErrorMessage="1" allowBlank="1" type="list">
      <formula1>"Tek Seferlik,Aylık,Zekât,Sadaka,Fidye,Kurumsal"</formula1>
    </dataValidation>
    <dataValidation sqref="F2:F5000" showDropDown="0" showInputMessage="0" showErrorMessage="1" allowBlank="1" type="list">
      <formula1>"TRY,USD,EUR"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8" t="inlineStr">
        <is>
          <t>Ay</t>
        </is>
      </c>
      <c r="B1" s="8" t="inlineStr">
        <is>
          <t>Bağış Tutarı (₺)</t>
        </is>
      </c>
      <c r="C1" s="8" t="inlineStr">
        <is>
          <t>Bağış Adedi</t>
        </is>
      </c>
      <c r="D1" s="8" t="inlineStr">
        <is>
          <t>Yeni Bağışçı (yaklaşık)</t>
        </is>
      </c>
      <c r="E1" s="8" t="inlineStr">
        <is>
          <t>Yetim Sponsorluğu</t>
        </is>
      </c>
      <c r="F1" s="8" t="inlineStr">
        <is>
          <t>Filistin Acil Yardım / Gazze Sıcak Yemek</t>
        </is>
      </c>
      <c r="G1" s="8" t="inlineStr">
        <is>
          <t>İyilik Çantası – Kırtasiye</t>
        </is>
      </c>
      <c r="H1" s="8" t="inlineStr">
        <is>
          <t>Adak – Akika – Şükür Kurbanı</t>
        </is>
      </c>
    </row>
    <row r="2">
      <c r="A2" s="22" t="inlineStr">
        <is>
          <t>Nis 2026</t>
        </is>
      </c>
      <c r="B2" s="10">
        <f>SUMIFS(Donations!G:G,Donations!A:A,"&gt;="&amp;DATE(2026,4,1),Donations!A:A,"&lt;"&amp;DATE(2026,5,1))</f>
        <v/>
      </c>
      <c r="C2" s="9">
        <f>COUNTIFS(Donations!A:A,"&gt;="&amp;DATE(2026,4,1),Donations!A:A,"&lt;"&amp;DATE(2026,5,1))</f>
        <v/>
      </c>
      <c r="D2" s="9">
        <f>SUMPRODUCT((TEXT(Donations!A$2:A$5000,"YYYY-MM")="2026-04")/COUNTIF(Donations!B$2:B$5000,Donations!B$2:B$5000&amp;""))</f>
        <v/>
      </c>
      <c r="E2" s="10">
        <f>SUMIFS(Donations!G:G,Donations!C:C,"Yetim Sponsorluğu",Donations!A:A,"&gt;="&amp;DATE(2026,4,1),Donations!A:A,"&lt;"&amp;DATE(2026,5,1))</f>
        <v/>
      </c>
      <c r="F2" s="10">
        <f>SUMIFS(Donations!G:G,Donations!C:C,"Filistin Acil Yardım / Gazze Sıcak Yemek",Donations!A:A,"&gt;="&amp;DATE(2026,4,1),Donations!A:A,"&lt;"&amp;DATE(2026,5,1))</f>
        <v/>
      </c>
      <c r="G2" s="10">
        <f>SUMIFS(Donations!G:G,Donations!C:C,"İyilik Çantası – Kırtasiye",Donations!A:A,"&gt;="&amp;DATE(2026,4,1),Donations!A:A,"&lt;"&amp;DATE(2026,5,1))</f>
        <v/>
      </c>
      <c r="H2" s="10">
        <f>SUMIFS(Donations!G:G,Donations!C:C,"Adak – Akika – Şükür Kurbanı",Donations!A:A,"&gt;="&amp;DATE(2026,4,1),Donations!A:A,"&lt;"&amp;DATE(2026,5,1))</f>
        <v/>
      </c>
    </row>
    <row r="3">
      <c r="A3" s="22" t="inlineStr">
        <is>
          <t>May 2026</t>
        </is>
      </c>
      <c r="B3" s="10">
        <f>SUMIFS(Donations!G:G,Donations!A:A,"&gt;="&amp;DATE(2026,5,1),Donations!A:A,"&lt;"&amp;DATE(2026,6,1))</f>
        <v/>
      </c>
      <c r="C3" s="9">
        <f>COUNTIFS(Donations!A:A,"&gt;="&amp;DATE(2026,5,1),Donations!A:A,"&lt;"&amp;DATE(2026,6,1))</f>
        <v/>
      </c>
      <c r="D3" s="9">
        <f>SUMPRODUCT((TEXT(Donations!A$2:A$5000,"YYYY-MM")="2026-05")/COUNTIF(Donations!B$2:B$5000,Donations!B$2:B$5000&amp;""))</f>
        <v/>
      </c>
      <c r="E3" s="10">
        <f>SUMIFS(Donations!G:G,Donations!C:C,"Yetim Sponsorluğu",Donations!A:A,"&gt;="&amp;DATE(2026,5,1),Donations!A:A,"&lt;"&amp;DATE(2026,6,1))</f>
        <v/>
      </c>
      <c r="F3" s="10">
        <f>SUMIFS(Donations!G:G,Donations!C:C,"Filistin Acil Yardım / Gazze Sıcak Yemek",Donations!A:A,"&gt;="&amp;DATE(2026,5,1),Donations!A:A,"&lt;"&amp;DATE(2026,6,1))</f>
        <v/>
      </c>
      <c r="G3" s="10">
        <f>SUMIFS(Donations!G:G,Donations!C:C,"İyilik Çantası – Kırtasiye",Donations!A:A,"&gt;="&amp;DATE(2026,5,1),Donations!A:A,"&lt;"&amp;DATE(2026,6,1))</f>
        <v/>
      </c>
      <c r="H3" s="10">
        <f>SUMIFS(Donations!G:G,Donations!C:C,"Adak – Akika – Şükür Kurbanı",Donations!A:A,"&gt;="&amp;DATE(2026,5,1),Donations!A:A,"&lt;"&amp;DATE(2026,6,1))</f>
        <v/>
      </c>
    </row>
    <row r="4">
      <c r="A4" s="22" t="inlineStr">
        <is>
          <t>Haz 2026</t>
        </is>
      </c>
      <c r="B4" s="10">
        <f>SUMIFS(Donations!G:G,Donations!A:A,"&gt;="&amp;DATE(2026,6,1),Donations!A:A,"&lt;"&amp;DATE(2026,7,1))</f>
        <v/>
      </c>
      <c r="C4" s="9">
        <f>COUNTIFS(Donations!A:A,"&gt;="&amp;DATE(2026,6,1),Donations!A:A,"&lt;"&amp;DATE(2026,7,1))</f>
        <v/>
      </c>
      <c r="D4" s="9">
        <f>SUMPRODUCT((TEXT(Donations!A$2:A$5000,"YYYY-MM")="2026-06")/COUNTIF(Donations!B$2:B$5000,Donations!B$2:B$5000&amp;""))</f>
        <v/>
      </c>
      <c r="E4" s="10">
        <f>SUMIFS(Donations!G:G,Donations!C:C,"Yetim Sponsorluğu",Donations!A:A,"&gt;="&amp;DATE(2026,6,1),Donations!A:A,"&lt;"&amp;DATE(2026,7,1))</f>
        <v/>
      </c>
      <c r="F4" s="10">
        <f>SUMIFS(Donations!G:G,Donations!C:C,"Filistin Acil Yardım / Gazze Sıcak Yemek",Donations!A:A,"&gt;="&amp;DATE(2026,6,1),Donations!A:A,"&lt;"&amp;DATE(2026,7,1))</f>
        <v/>
      </c>
      <c r="G4" s="10">
        <f>SUMIFS(Donations!G:G,Donations!C:C,"İyilik Çantası – Kırtasiye",Donations!A:A,"&gt;="&amp;DATE(2026,6,1),Donations!A:A,"&lt;"&amp;DATE(2026,7,1))</f>
        <v/>
      </c>
      <c r="H4" s="10">
        <f>SUMIFS(Donations!G:G,Donations!C:C,"Adak – Akika – Şükür Kurbanı",Donations!A:A,"&gt;="&amp;DATE(2026,6,1),Donations!A:A,"&lt;"&amp;DATE(2026,7,1))</f>
        <v/>
      </c>
    </row>
    <row r="5">
      <c r="A5" s="22" t="inlineStr">
        <is>
          <t>Tem 2026</t>
        </is>
      </c>
      <c r="B5" s="10">
        <f>SUMIFS(Donations!G:G,Donations!A:A,"&gt;="&amp;DATE(2026,7,1),Donations!A:A,"&lt;"&amp;DATE(2026,8,1))</f>
        <v/>
      </c>
      <c r="C5" s="9">
        <f>COUNTIFS(Donations!A:A,"&gt;="&amp;DATE(2026,7,1),Donations!A:A,"&lt;"&amp;DATE(2026,8,1))</f>
        <v/>
      </c>
      <c r="D5" s="9">
        <f>SUMPRODUCT((TEXT(Donations!A$2:A$5000,"YYYY-MM")="2026-07")/COUNTIF(Donations!B$2:B$5000,Donations!B$2:B$5000&amp;""))</f>
        <v/>
      </c>
      <c r="E5" s="10">
        <f>SUMIFS(Donations!G:G,Donations!C:C,"Yetim Sponsorluğu",Donations!A:A,"&gt;="&amp;DATE(2026,7,1),Donations!A:A,"&lt;"&amp;DATE(2026,8,1))</f>
        <v/>
      </c>
      <c r="F5" s="10">
        <f>SUMIFS(Donations!G:G,Donations!C:C,"Filistin Acil Yardım / Gazze Sıcak Yemek",Donations!A:A,"&gt;="&amp;DATE(2026,7,1),Donations!A:A,"&lt;"&amp;DATE(2026,8,1))</f>
        <v/>
      </c>
      <c r="G5" s="10">
        <f>SUMIFS(Donations!G:G,Donations!C:C,"İyilik Çantası – Kırtasiye",Donations!A:A,"&gt;="&amp;DATE(2026,7,1),Donations!A:A,"&lt;"&amp;DATE(2026,8,1))</f>
        <v/>
      </c>
      <c r="H5" s="10">
        <f>SUMIFS(Donations!G:G,Donations!C:C,"Adak – Akika – Şükür Kurbanı",Donations!A:A,"&gt;="&amp;DATE(2026,7,1),Donations!A:A,"&lt;"&amp;DATE(2026,8,1))</f>
        <v/>
      </c>
    </row>
    <row r="6">
      <c r="A6" s="22" t="inlineStr">
        <is>
          <t>Ağu 2026</t>
        </is>
      </c>
      <c r="B6" s="10">
        <f>SUMIFS(Donations!G:G,Donations!A:A,"&gt;="&amp;DATE(2026,8,1),Donations!A:A,"&lt;"&amp;DATE(2026,9,1))</f>
        <v/>
      </c>
      <c r="C6" s="9">
        <f>COUNTIFS(Donations!A:A,"&gt;="&amp;DATE(2026,8,1),Donations!A:A,"&lt;"&amp;DATE(2026,9,1))</f>
        <v/>
      </c>
      <c r="D6" s="9">
        <f>SUMPRODUCT((TEXT(Donations!A$2:A$5000,"YYYY-MM")="2026-08")/COUNTIF(Donations!B$2:B$5000,Donations!B$2:B$5000&amp;""))</f>
        <v/>
      </c>
      <c r="E6" s="10">
        <f>SUMIFS(Donations!G:G,Donations!C:C,"Yetim Sponsorluğu",Donations!A:A,"&gt;="&amp;DATE(2026,8,1),Donations!A:A,"&lt;"&amp;DATE(2026,9,1))</f>
        <v/>
      </c>
      <c r="F6" s="10">
        <f>SUMIFS(Donations!G:G,Donations!C:C,"Filistin Acil Yardım / Gazze Sıcak Yemek",Donations!A:A,"&gt;="&amp;DATE(2026,8,1),Donations!A:A,"&lt;"&amp;DATE(2026,9,1))</f>
        <v/>
      </c>
      <c r="G6" s="10">
        <f>SUMIFS(Donations!G:G,Donations!C:C,"İyilik Çantası – Kırtasiye",Donations!A:A,"&gt;="&amp;DATE(2026,8,1),Donations!A:A,"&lt;"&amp;DATE(2026,9,1))</f>
        <v/>
      </c>
      <c r="H6" s="10">
        <f>SUMIFS(Donations!G:G,Donations!C:C,"Adak – Akika – Şükür Kurbanı",Donations!A:A,"&gt;="&amp;DATE(2026,8,1),Donations!A:A,"&lt;"&amp;DATE(2026,9,1))</f>
        <v/>
      </c>
    </row>
    <row r="7">
      <c r="A7" s="22" t="inlineStr">
        <is>
          <t>Eyl 2026</t>
        </is>
      </c>
      <c r="B7" s="10">
        <f>SUMIFS(Donations!G:G,Donations!A:A,"&gt;="&amp;DATE(2026,9,1),Donations!A:A,"&lt;"&amp;DATE(2026,10,1))</f>
        <v/>
      </c>
      <c r="C7" s="9">
        <f>COUNTIFS(Donations!A:A,"&gt;="&amp;DATE(2026,9,1),Donations!A:A,"&lt;"&amp;DATE(2026,10,1))</f>
        <v/>
      </c>
      <c r="D7" s="9">
        <f>SUMPRODUCT((TEXT(Donations!A$2:A$5000,"YYYY-MM")="2026-09")/COUNTIF(Donations!B$2:B$5000,Donations!B$2:B$5000&amp;""))</f>
        <v/>
      </c>
      <c r="E7" s="10">
        <f>SUMIFS(Donations!G:G,Donations!C:C,"Yetim Sponsorluğu",Donations!A:A,"&gt;="&amp;DATE(2026,9,1),Donations!A:A,"&lt;"&amp;DATE(2026,10,1))</f>
        <v/>
      </c>
      <c r="F7" s="10">
        <f>SUMIFS(Donations!G:G,Donations!C:C,"Filistin Acil Yardım / Gazze Sıcak Yemek",Donations!A:A,"&gt;="&amp;DATE(2026,9,1),Donations!A:A,"&lt;"&amp;DATE(2026,10,1))</f>
        <v/>
      </c>
      <c r="G7" s="10">
        <f>SUMIFS(Donations!G:G,Donations!C:C,"İyilik Çantası – Kırtasiye",Donations!A:A,"&gt;="&amp;DATE(2026,9,1),Donations!A:A,"&lt;"&amp;DATE(2026,10,1))</f>
        <v/>
      </c>
      <c r="H7" s="10">
        <f>SUMIFS(Donations!G:G,Donations!C:C,"Adak – Akika – Şükür Kurbanı",Donations!A:A,"&gt;="&amp;DATE(2026,9,1),Donations!A:A,"&lt;"&amp;DATE(2026,10,1))</f>
        <v/>
      </c>
    </row>
    <row r="8">
      <c r="A8" s="23" t="inlineStr">
        <is>
          <t>TOPLAM</t>
        </is>
      </c>
      <c r="B8" s="24">
        <f>SUM(B2:B7)</f>
        <v/>
      </c>
      <c r="C8" s="22">
        <f>SUM(C2:C7)</f>
        <v/>
      </c>
    </row>
    <row r="10">
      <c r="A10" s="2" t="inlineStr">
        <is>
          <t>Not: E–H sütunları ilk 4 kampanyanın aylık kırılımıdır; diğer kampanyalar için formülü kopyalayarak kampanya adını değiştirin.</t>
        </is>
      </c>
    </row>
  </sheetData>
  <conditionalFormatting sqref="B2:B7">
    <cfRule type="dataBar" priority="1">
      <dataBar>
        <cfvo type="num" val="0"/>
        <cfvo type="max"/>
        <color rgb="00F59E0B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2026-09-27T12:42:15Z</dcterms:created>
  <dcterms:modified xmlns:dcterms="http://purl.org/dc/terms/" xmlns:xsi="http://www.w3.org/2001/XMLSchema-instance" xsi:type="dcterms:W3CDTF">2026-09-27T12:42:15Z</dcterms:modified>
</cp:coreProperties>
</file>